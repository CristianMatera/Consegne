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staroth\Desktop\Build Week\Preventivo\"/>
    </mc:Choice>
  </mc:AlternateContent>
  <xr:revisionPtr revIDLastSave="0" documentId="13_ncr:1_{2FEFFE3E-ABFE-431E-B14C-B916D5638C4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ventivo" sheetId="26" r:id="rId1"/>
  </sheets>
  <definedNames>
    <definedName name="_xlnm.Print_Area" localSheetId="0">preventivo!$A$1:$H$47</definedName>
    <definedName name="_xlnm.Print_Titles" localSheetId="0">preventivo!$19:$19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3" i="26" l="1"/>
  <c r="H32" i="26"/>
  <c r="B7" i="26"/>
  <c r="B6" i="26"/>
  <c r="H37" i="26"/>
  <c r="J37" i="26"/>
  <c r="H38" i="26"/>
  <c r="J38" i="26"/>
  <c r="H39" i="26"/>
  <c r="J39" i="26"/>
  <c r="J33" i="26"/>
  <c r="H34" i="26"/>
  <c r="J34" i="26" s="1"/>
  <c r="H35" i="26"/>
  <c r="J35" i="26"/>
  <c r="J32" i="26"/>
  <c r="J36" i="26"/>
  <c r="J40" i="26"/>
  <c r="J41" i="26"/>
  <c r="H21" i="26"/>
  <c r="J21" i="26" s="1"/>
  <c r="H22" i="26"/>
  <c r="J22" i="26" s="1"/>
  <c r="H23" i="26"/>
  <c r="J23" i="26" s="1"/>
  <c r="H24" i="26"/>
  <c r="J24" i="26" s="1"/>
  <c r="H25" i="26"/>
  <c r="J25" i="26" s="1"/>
  <c r="H26" i="26"/>
  <c r="J26" i="26" s="1"/>
  <c r="H27" i="26"/>
  <c r="J27" i="26" s="1"/>
  <c r="H28" i="26"/>
  <c r="J28" i="26" s="1"/>
  <c r="H29" i="26"/>
  <c r="J29" i="26" s="1"/>
  <c r="H30" i="26"/>
  <c r="J30" i="26" s="1"/>
  <c r="H31" i="26"/>
  <c r="J31" i="26" s="1"/>
  <c r="H36" i="26"/>
  <c r="H40" i="26"/>
  <c r="H41" i="26"/>
  <c r="H20" i="26"/>
  <c r="J20" i="26" s="1"/>
  <c r="H46" i="26" l="1"/>
  <c r="H45" i="26" l="1"/>
  <c r="H47" i="26" l="1"/>
</calcChain>
</file>

<file path=xl/sharedStrings.xml><?xml version="1.0" encoding="utf-8"?>
<sst xmlns="http://schemas.openxmlformats.org/spreadsheetml/2006/main" count="99" uniqueCount="69">
  <si>
    <t>Articolo</t>
  </si>
  <si>
    <t>Prezzo</t>
  </si>
  <si>
    <t>Importo</t>
  </si>
  <si>
    <t>Totale imponibile</t>
  </si>
  <si>
    <t>Totale documento</t>
  </si>
  <si>
    <t>Preventivo del</t>
  </si>
  <si>
    <t>Valido fino al</t>
  </si>
  <si>
    <t>Dati cliente</t>
  </si>
  <si>
    <t>Pagamenti</t>
  </si>
  <si>
    <t>Nr.</t>
  </si>
  <si>
    <t>Ns banca</t>
  </si>
  <si>
    <t>Inizio lavori</t>
  </si>
  <si>
    <t>Durata lavori</t>
  </si>
  <si>
    <t>Oggetto</t>
  </si>
  <si>
    <t>Q.tà</t>
  </si>
  <si>
    <t>Sconto</t>
  </si>
  <si>
    <t>IVA</t>
  </si>
  <si>
    <t>Totale IVA</t>
  </si>
  <si>
    <t/>
  </si>
  <si>
    <t>IVA calcolata (non esce in stampa)</t>
  </si>
  <si>
    <t>Acconto 50%, Saldo alla consegna</t>
  </si>
  <si>
    <t>Da concordare alla conferma d'ordine</t>
  </si>
  <si>
    <t>Landa Tracker Srl</t>
  </si>
  <si>
    <t>C.F./P.IVA 11359591002 – Reg. Imprese RM-342765</t>
  </si>
  <si>
    <t>Via Filippo Turati  n° 23 , CAP 20121 Comune Milano (MI) - P.IVA 10354512543</t>
  </si>
  <si>
    <t xml:space="preserve">Fattura per azienda Tetha Spa </t>
  </si>
  <si>
    <t>Spett.le Azienda Tetha locata presso:</t>
  </si>
  <si>
    <t xml:space="preserve">Preventivo Tetha </t>
  </si>
  <si>
    <t>Tel +39 345 14 71 432 –  landatrackercybersecurity@gmail.com – www.landatracker.it</t>
  </si>
  <si>
    <t>LTS-2025-2001</t>
  </si>
  <si>
    <t>Apple IMac 24″ M4 8/8 Core – RAM 16GB – SSD 256GB</t>
  </si>
  <si>
    <t>HP Inc 14" EliteBook 840 G9 Windows 11 Pro 6F5S4EA</t>
  </si>
  <si>
    <t>Vortex Elite</t>
  </si>
  <si>
    <t>Fortinet FG-100F-LENC-EUFortinet FG-100F-LENC-EU</t>
  </si>
  <si>
    <t>Cisco - CISCO2801-SEC/K9 - Cisco - CISCO2801-SEC/K9 - 2801 Security Bundle,Adv Security,64F/256D</t>
  </si>
  <si>
    <t>Cisco - CISCO2911-SEC/K9 - Cisco - CISCO2911-SEC/K9 - Cisco 2911 Security Bundle w/SEC license PAK</t>
  </si>
  <si>
    <t>Cisco - WS-C2960X-24PSQ-L - Cisco - WS-C2960X-24PSQ-L - Catalyst 2960-X 24 GigE PoE 92W, 2xSFP + 2x1GBT, LAN Base</t>
  </si>
  <si>
    <t>Descrizione</t>
  </si>
  <si>
    <t>Pc fissi mac</t>
  </si>
  <si>
    <t>Portatili</t>
  </si>
  <si>
    <t>Fissi tower Windows</t>
  </si>
  <si>
    <t>Firewall</t>
  </si>
  <si>
    <t>Switch</t>
  </si>
  <si>
    <t>Router</t>
  </si>
  <si>
    <t>Cisco WS-C3560-24PS-S</t>
  </si>
  <si>
    <t>Switch multilayer</t>
  </si>
  <si>
    <t>DataFlow NAS212 Pro</t>
  </si>
  <si>
    <t>Server NAS</t>
  </si>
  <si>
    <t>Struttura NAS</t>
  </si>
  <si>
    <t>NAS SERVER SYNOLOGY DS3622XS+ NERO 12 BAY</t>
  </si>
  <si>
    <t>Server Rack</t>
  </si>
  <si>
    <t>Armadio per server Grande 26U Startech, 580 x 1265 x 550mm</t>
  </si>
  <si>
    <t>HPE - R7J72A - HPE - R7J72A - Modular Smart Array 2060 10GBase-T iSCSI LFF Storage - Hard drive array - 0 TB - 12 bays (SCSI) - iSCSI (10 GbE) (external) - rack-mountable - 2U</t>
  </si>
  <si>
    <t>Server</t>
  </si>
  <si>
    <t>AGGIUNTA POSSIBILE UPS</t>
  </si>
  <si>
    <t>Modello: APC SRT8KXLI (8000VA / 7200W</t>
  </si>
  <si>
    <t>IBAN IT00A0103045971001026400356</t>
  </si>
  <si>
    <t>Intesa San Paolo</t>
  </si>
  <si>
    <t>30g MAX</t>
  </si>
  <si>
    <t>Per APC SRT8KXLI: SRT192BP (fino a 10 moduli in parallelo)</t>
  </si>
  <si>
    <t>Modello: APC Smart-UPS SMT2200IC (2200VA / 1980W - Line Interactive con SmartConnect)</t>
  </si>
  <si>
    <t>AGGIUNTA POSSIBILE BATTERIE UPS</t>
  </si>
  <si>
    <t>Cavi ethernet e fibra</t>
  </si>
  <si>
    <t>Cavi</t>
  </si>
  <si>
    <t>Manodopera</t>
  </si>
  <si>
    <t>Trasporti</t>
  </si>
  <si>
    <t>Manodopera montaggio e test</t>
  </si>
  <si>
    <t>Trasporti attrezzature e dipendenti</t>
  </si>
  <si>
    <t>Via Roma 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</si>
</sst>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#,##0.00\ &quot;€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AFA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horizontal="center" vertical="center" wrapText="1"/>
    </xf>
    <xf numFmtId="165" fontId="21" fillId="0" borderId="36" xfId="0" applyNumberFormat="1" applyFont="1" applyBorder="1" applyAlignment="1">
      <alignment vertical="center" wrapText="1"/>
    </xf>
    <xf numFmtId="165" fontId="0" fillId="0" borderId="39" xfId="0" applyNumberFormat="1" applyBorder="1" applyAlignment="1">
      <alignment vertical="center" wrapText="1"/>
    </xf>
    <xf numFmtId="165" fontId="0" fillId="0" borderId="40" xfId="0" applyNumberFormat="1" applyBorder="1" applyAlignment="1">
      <alignment vertical="center" wrapText="1"/>
    </xf>
    <xf numFmtId="165" fontId="0" fillId="0" borderId="41" xfId="0" applyNumberFormat="1" applyBorder="1" applyAlignment="1">
      <alignment vertical="center" wrapText="1"/>
    </xf>
    <xf numFmtId="49" fontId="0" fillId="0" borderId="36" xfId="0" applyNumberFormat="1" applyBorder="1" applyAlignment="1">
      <alignment vertical="center" wrapText="1"/>
    </xf>
    <xf numFmtId="49" fontId="0" fillId="0" borderId="40" xfId="0" applyNumberFormat="1" applyBorder="1" applyAlignment="1">
      <alignment vertical="center" wrapText="1"/>
    </xf>
    <xf numFmtId="49" fontId="0" fillId="0" borderId="41" xfId="0" applyNumberFormat="1" applyBorder="1" applyAlignment="1">
      <alignment vertical="center" wrapText="1"/>
    </xf>
    <xf numFmtId="2" fontId="0" fillId="0" borderId="36" xfId="0" applyNumberFormat="1" applyBorder="1" applyAlignment="1">
      <alignment vertical="center" wrapText="1"/>
    </xf>
    <xf numFmtId="2" fontId="0" fillId="0" borderId="40" xfId="0" applyNumberFormat="1" applyBorder="1" applyAlignment="1">
      <alignment vertical="center" wrapText="1"/>
    </xf>
    <xf numFmtId="2" fontId="0" fillId="0" borderId="41" xfId="0" applyNumberFormat="1" applyBorder="1" applyAlignment="1">
      <alignment vertical="center" wrapText="1"/>
    </xf>
    <xf numFmtId="165" fontId="0" fillId="0" borderId="36" xfId="0" applyNumberFormat="1" applyBorder="1" applyAlignment="1">
      <alignment vertical="center" wrapText="1"/>
    </xf>
    <xf numFmtId="10" fontId="0" fillId="0" borderId="36" xfId="0" applyNumberFormat="1" applyBorder="1" applyAlignment="1">
      <alignment vertical="center" wrapText="1"/>
    </xf>
    <xf numFmtId="10" fontId="0" fillId="0" borderId="40" xfId="0" applyNumberFormat="1" applyBorder="1" applyAlignment="1">
      <alignment vertical="center" wrapText="1"/>
    </xf>
    <xf numFmtId="10" fontId="0" fillId="0" borderId="41" xfId="0" applyNumberFormat="1" applyBorder="1" applyAlignment="1">
      <alignment vertical="center" wrapText="1"/>
    </xf>
    <xf numFmtId="10" fontId="0" fillId="0" borderId="34" xfId="0" applyNumberFormat="1" applyBorder="1" applyAlignment="1">
      <alignment vertical="center" wrapText="1"/>
    </xf>
    <xf numFmtId="10" fontId="0" fillId="0" borderId="35" xfId="0" applyNumberFormat="1" applyBorder="1" applyAlignment="1">
      <alignment vertical="center" wrapText="1"/>
    </xf>
    <xf numFmtId="10" fontId="0" fillId="0" borderId="48" xfId="0" applyNumberFormat="1" applyBorder="1" applyAlignment="1">
      <alignment vertical="center" wrapText="1"/>
    </xf>
    <xf numFmtId="165" fontId="21" fillId="0" borderId="40" xfId="0" applyNumberFormat="1" applyFont="1" applyBorder="1" applyAlignment="1">
      <alignment vertical="center" wrapText="1"/>
    </xf>
    <xf numFmtId="164" fontId="0" fillId="0" borderId="33" xfId="0" applyNumberFormat="1" applyBorder="1" applyAlignment="1">
      <alignment vertical="center" wrapText="1"/>
    </xf>
    <xf numFmtId="164" fontId="16" fillId="34" borderId="11" xfId="0" applyNumberFormat="1" applyFont="1" applyFill="1" applyBorder="1" applyAlignment="1">
      <alignment horizontal="center" vertical="center" wrapText="1"/>
    </xf>
    <xf numFmtId="0" fontId="16" fillId="34" borderId="16" xfId="0" applyFont="1" applyFill="1" applyBorder="1" applyAlignment="1">
      <alignment horizontal="center" vertical="center" wrapText="1"/>
    </xf>
    <xf numFmtId="0" fontId="16" fillId="34" borderId="11" xfId="0" applyFont="1" applyFill="1" applyBorder="1" applyAlignment="1">
      <alignment horizontal="right" vertical="center" wrapText="1" indent="1"/>
    </xf>
    <xf numFmtId="0" fontId="23" fillId="0" borderId="0" xfId="0" applyFont="1"/>
    <xf numFmtId="165" fontId="0" fillId="0" borderId="50" xfId="0" applyNumberFormat="1" applyBorder="1" applyAlignment="1">
      <alignment vertical="center" wrapText="1"/>
    </xf>
    <xf numFmtId="165" fontId="0" fillId="0" borderId="17" xfId="0" applyNumberFormat="1" applyBorder="1" applyAlignment="1">
      <alignment vertical="center" wrapText="1"/>
    </xf>
    <xf numFmtId="49" fontId="0" fillId="0" borderId="40" xfId="0" applyNumberFormat="1" applyBorder="1" applyAlignment="1">
      <alignment vertical="center"/>
    </xf>
    <xf numFmtId="165" fontId="0" fillId="0" borderId="33" xfId="0" applyNumberFormat="1" applyBorder="1" applyAlignment="1">
      <alignment vertical="center" wrapText="1"/>
    </xf>
    <xf numFmtId="2" fontId="0" fillId="0" borderId="40" xfId="0" applyNumberFormat="1" applyBorder="1" applyAlignment="1">
      <alignment horizontal="right" vertical="center" wrapText="1"/>
    </xf>
    <xf numFmtId="49" fontId="16" fillId="35" borderId="40" xfId="0" applyNumberFormat="1" applyFont="1" applyFill="1" applyBorder="1" applyAlignment="1">
      <alignment vertical="center"/>
    </xf>
    <xf numFmtId="2" fontId="16" fillId="35" borderId="40" xfId="0" applyNumberFormat="1" applyFont="1" applyFill="1" applyBorder="1" applyAlignment="1">
      <alignment vertical="center" wrapText="1"/>
    </xf>
    <xf numFmtId="165" fontId="16" fillId="35" borderId="40" xfId="0" applyNumberFormat="1" applyFont="1" applyFill="1" applyBorder="1" applyAlignment="1">
      <alignment vertical="center" wrapText="1"/>
    </xf>
    <xf numFmtId="2" fontId="16" fillId="35" borderId="40" xfId="0" applyNumberFormat="1" applyFont="1" applyFill="1" applyBorder="1" applyAlignment="1">
      <alignment horizontal="right" vertical="center" wrapText="1"/>
    </xf>
    <xf numFmtId="165" fontId="16" fillId="35" borderId="33" xfId="0" applyNumberFormat="1" applyFont="1" applyFill="1" applyBorder="1" applyAlignment="1">
      <alignment vertical="center" wrapText="1"/>
    </xf>
    <xf numFmtId="49" fontId="0" fillId="0" borderId="44" xfId="0" applyNumberFormat="1" applyBorder="1" applyAlignment="1">
      <alignment vertical="center" wrapText="1"/>
    </xf>
    <xf numFmtId="49" fontId="0" fillId="0" borderId="45" xfId="0" applyNumberForma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5" xfId="0" applyBorder="1" applyAlignment="1">
      <alignment vertical="center"/>
    </xf>
    <xf numFmtId="0" fontId="16" fillId="34" borderId="16" xfId="0" applyFont="1" applyFill="1" applyBorder="1" applyAlignment="1">
      <alignment horizontal="center" vertical="center" wrapText="1"/>
    </xf>
    <xf numFmtId="0" fontId="16" fillId="34" borderId="18" xfId="0" applyFont="1" applyFill="1" applyBorder="1" applyAlignment="1">
      <alignment horizontal="center" vertical="center" wrapText="1"/>
    </xf>
    <xf numFmtId="0" fontId="16" fillId="34" borderId="17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22" fillId="0" borderId="12" xfId="42" applyFill="1" applyBorder="1" applyAlignment="1">
      <alignment horizontal="left" vertical="center" wrapText="1"/>
    </xf>
    <xf numFmtId="14" fontId="0" fillId="0" borderId="11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16" fillId="34" borderId="11" xfId="0" applyNumberFormat="1" applyFont="1" applyFill="1" applyBorder="1" applyAlignment="1">
      <alignment horizontal="right" vertical="center" wrapText="1" indent="1"/>
    </xf>
    <xf numFmtId="0" fontId="18" fillId="0" borderId="0" xfId="0" applyFont="1" applyAlignment="1">
      <alignment horizontal="left" vertical="center" wrapText="1"/>
    </xf>
    <xf numFmtId="0" fontId="16" fillId="34" borderId="24" xfId="0" applyFont="1" applyFill="1" applyBorder="1" applyAlignment="1">
      <alignment horizontal="right" vertical="center" wrapText="1" indent="1"/>
    </xf>
    <xf numFmtId="0" fontId="16" fillId="34" borderId="30" xfId="0" applyFont="1" applyFill="1" applyBorder="1" applyAlignment="1">
      <alignment horizontal="right" vertical="center" wrapText="1" indent="1"/>
    </xf>
    <xf numFmtId="0" fontId="16" fillId="34" borderId="23" xfId="0" applyFont="1" applyFill="1" applyBorder="1" applyAlignment="1">
      <alignment horizontal="center" vertical="center" wrapText="1"/>
    </xf>
    <xf numFmtId="0" fontId="16" fillId="34" borderId="29" xfId="0" applyFont="1" applyFill="1" applyBorder="1" applyAlignment="1">
      <alignment horizontal="center" vertical="center" wrapText="1"/>
    </xf>
    <xf numFmtId="0" fontId="16" fillId="34" borderId="28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27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49" fontId="0" fillId="0" borderId="46" xfId="0" applyNumberFormat="1" applyBorder="1" applyAlignment="1">
      <alignment vertical="center" wrapText="1"/>
    </xf>
    <xf numFmtId="49" fontId="0" fillId="0" borderId="47" xfId="0" applyNumberFormat="1" applyBorder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0" fillId="33" borderId="16" xfId="0" applyFill="1" applyBorder="1" applyAlignment="1">
      <alignment horizontal="left" vertical="center" wrapText="1"/>
    </xf>
    <xf numFmtId="0" fontId="0" fillId="33" borderId="18" xfId="0" applyFill="1" applyBorder="1" applyAlignment="1">
      <alignment horizontal="left" vertical="center" wrapText="1"/>
    </xf>
    <xf numFmtId="0" fontId="0" fillId="33" borderId="17" xfId="0" applyFill="1" applyBorder="1" applyAlignment="1">
      <alignment horizontal="left" vertical="center" wrapText="1"/>
    </xf>
    <xf numFmtId="49" fontId="16" fillId="35" borderId="44" xfId="0" applyNumberFormat="1" applyFont="1" applyFill="1" applyBorder="1" applyAlignment="1">
      <alignment vertical="center" wrapText="1"/>
    </xf>
    <xf numFmtId="49" fontId="16" fillId="35" borderId="45" xfId="0" applyNumberFormat="1" applyFont="1" applyFill="1" applyBorder="1" applyAlignment="1">
      <alignment vertical="center" wrapText="1"/>
    </xf>
    <xf numFmtId="0" fontId="16" fillId="34" borderId="37" xfId="0" applyFont="1" applyFill="1" applyBorder="1" applyAlignment="1">
      <alignment horizontal="center" vertical="center" wrapText="1"/>
    </xf>
    <xf numFmtId="0" fontId="16" fillId="34" borderId="38" xfId="0" applyFont="1" applyFill="1" applyBorder="1" applyAlignment="1">
      <alignment horizontal="center" vertical="center" wrapText="1"/>
    </xf>
    <xf numFmtId="0" fontId="16" fillId="34" borderId="23" xfId="0" applyFont="1" applyFill="1" applyBorder="1" applyAlignment="1">
      <alignment horizontal="right" vertical="center" wrapText="1" indent="1"/>
    </xf>
    <xf numFmtId="0" fontId="16" fillId="34" borderId="29" xfId="0" applyFont="1" applyFill="1" applyBorder="1" applyAlignment="1">
      <alignment horizontal="right" vertical="center" wrapText="1" indent="1"/>
    </xf>
    <xf numFmtId="0" fontId="16" fillId="34" borderId="22" xfId="0" applyFont="1" applyFill="1" applyBorder="1" applyAlignment="1">
      <alignment horizontal="right" vertical="center" wrapText="1" indent="1"/>
    </xf>
    <xf numFmtId="0" fontId="16" fillId="34" borderId="18" xfId="0" applyFont="1" applyFill="1" applyBorder="1" applyAlignment="1">
      <alignment horizontal="right" vertical="center" wrapText="1" indent="1"/>
    </xf>
    <xf numFmtId="49" fontId="16" fillId="0" borderId="35" xfId="0" applyNumberFormat="1" applyFont="1" applyBorder="1" applyAlignment="1">
      <alignment vertical="center" wrapText="1"/>
    </xf>
    <xf numFmtId="49" fontId="16" fillId="0" borderId="49" xfId="0" applyNumberFormat="1" applyFont="1" applyBorder="1" applyAlignment="1">
      <alignment vertical="center" wrapText="1"/>
    </xf>
    <xf numFmtId="49" fontId="16" fillId="35" borderId="35" xfId="0" applyNumberFormat="1" applyFont="1" applyFill="1" applyBorder="1" applyAlignment="1">
      <alignment vertical="center" wrapText="1"/>
    </xf>
    <xf numFmtId="49" fontId="0" fillId="0" borderId="35" xfId="0" applyNumberFormat="1" applyBorder="1" applyAlignment="1">
      <alignment vertical="center" wrapText="1"/>
    </xf>
    <xf numFmtId="49" fontId="0" fillId="0" borderId="49" xfId="0" applyNumberFormat="1" applyBorder="1" applyAlignment="1">
      <alignment vertical="center" wrapText="1"/>
    </xf>
    <xf numFmtId="49" fontId="16" fillId="35" borderId="49" xfId="0" applyNumberFormat="1" applyFont="1" applyFill="1" applyBorder="1" applyAlignment="1">
      <alignment vertical="center" wrapText="1"/>
    </xf>
    <xf numFmtId="0" fontId="16" fillId="34" borderId="11" xfId="0" applyFont="1" applyFill="1" applyBorder="1" applyAlignment="1">
      <alignment horizontal="center" vertical="center" wrapText="1"/>
    </xf>
    <xf numFmtId="49" fontId="0" fillId="0" borderId="42" xfId="0" applyNumberFormat="1" applyBorder="1" applyAlignment="1">
      <alignment vertical="center" wrapText="1"/>
    </xf>
    <xf numFmtId="49" fontId="0" fillId="0" borderId="43" xfId="0" applyNumberFormat="1" applyBorder="1" applyAlignment="1">
      <alignment vertical="center" wrapText="1"/>
    </xf>
  </cellXfs>
  <cellStyles count="43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legamento ipertestuale" xfId="42" builtinId="8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4</xdr:row>
          <xdr:rowOff>47625</xdr:rowOff>
        </xdr:from>
        <xdr:to>
          <xdr:col>2</xdr:col>
          <xdr:colOff>542925</xdr:colOff>
          <xdr:row>4</xdr:row>
          <xdr:rowOff>295275</xdr:rowOff>
        </xdr:to>
        <xdr:sp macro="" textlink="">
          <xdr:nvSpPr>
            <xdr:cNvPr id="35841" name="Pulsante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Stampa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4</xdr:row>
          <xdr:rowOff>38100</xdr:rowOff>
        </xdr:from>
        <xdr:to>
          <xdr:col>5</xdr:col>
          <xdr:colOff>457200</xdr:colOff>
          <xdr:row>4</xdr:row>
          <xdr:rowOff>285750</xdr:rowOff>
        </xdr:to>
        <xdr:sp macro="" textlink="">
          <xdr:nvSpPr>
            <xdr:cNvPr id="35845" name="Pulsante 1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0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Pulisci Modulo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</xdr:colOff>
      <xdr:row>0</xdr:row>
      <xdr:rowOff>104775</xdr:rowOff>
    </xdr:from>
    <xdr:to>
      <xdr:col>0</xdr:col>
      <xdr:colOff>1267970</xdr:colOff>
      <xdr:row>4</xdr:row>
      <xdr:rowOff>220220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04775"/>
          <a:ext cx="1191770" cy="119177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0</xdr:row>
      <xdr:rowOff>104777</xdr:rowOff>
    </xdr:from>
    <xdr:to>
      <xdr:col>0</xdr:col>
      <xdr:colOff>1379558</xdr:colOff>
      <xdr:row>4</xdr:row>
      <xdr:rowOff>257175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E1BB5A63-528E-F9E4-19F5-5977F6527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104777"/>
          <a:ext cx="1312882" cy="12287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AAA34-CADA-4FC8-A437-67AE6C740AC5}">
  <sheetPr codeName="Foglio5"/>
  <dimension ref="A1:J47"/>
  <sheetViews>
    <sheetView showGridLines="0" tabSelected="1" topLeftCell="A4" zoomScaleNormal="100" workbookViewId="0">
      <selection activeCell="D20" sqref="D20"/>
    </sheetView>
  </sheetViews>
  <sheetFormatPr defaultColWidth="8.85546875" defaultRowHeight="15" x14ac:dyDescent="0.25"/>
  <cols>
    <col min="1" max="1" width="20.7109375" style="1" customWidth="1"/>
    <col min="2" max="2" width="11.140625" style="1" customWidth="1"/>
    <col min="3" max="3" width="19.7109375" style="4" customWidth="1"/>
    <col min="4" max="4" width="8.7109375" style="4" customWidth="1"/>
    <col min="5" max="5" width="10.7109375" style="4" customWidth="1"/>
    <col min="6" max="6" width="8.7109375" style="4" customWidth="1"/>
    <col min="7" max="7" width="9.140625" style="1" customWidth="1"/>
    <col min="8" max="8" width="11.5703125" style="4" customWidth="1"/>
    <col min="9" max="9" width="8.85546875" style="1"/>
    <col min="10" max="10" width="20.7109375" style="1" customWidth="1"/>
    <col min="11" max="16384" width="8.85546875" style="1"/>
  </cols>
  <sheetData>
    <row r="1" spans="1:10" ht="40.15" customHeight="1" x14ac:dyDescent="0.25">
      <c r="A1" s="47"/>
      <c r="B1" s="65" t="s">
        <v>22</v>
      </c>
      <c r="C1" s="65"/>
      <c r="D1" s="65"/>
      <c r="E1" s="65"/>
      <c r="F1" s="65"/>
      <c r="G1" s="65"/>
      <c r="H1" s="65"/>
    </row>
    <row r="2" spans="1:10" x14ac:dyDescent="0.25">
      <c r="A2" s="47"/>
      <c r="B2" s="47" t="s">
        <v>68</v>
      </c>
      <c r="C2" s="47"/>
      <c r="D2" s="47"/>
      <c r="E2" s="47"/>
      <c r="F2" s="47"/>
      <c r="G2" s="47"/>
      <c r="H2" s="47"/>
    </row>
    <row r="3" spans="1:10" x14ac:dyDescent="0.2">
      <c r="A3" s="47"/>
      <c r="B3" s="47" t="s">
        <v>28</v>
      </c>
      <c r="C3" s="47"/>
      <c r="D3" s="47"/>
      <c r="E3" s="47"/>
      <c r="F3" s="47"/>
      <c r="G3" s="47"/>
      <c r="H3" s="47"/>
      <c r="J3" s="30"/>
    </row>
    <row r="4" spans="1:10" x14ac:dyDescent="0.25">
      <c r="A4" s="47"/>
      <c r="B4" s="47" t="s">
        <v>23</v>
      </c>
      <c r="C4" s="47"/>
      <c r="D4" s="47"/>
      <c r="E4" s="47"/>
      <c r="F4" s="47"/>
      <c r="G4" s="47"/>
      <c r="H4" s="47"/>
    </row>
    <row r="5" spans="1:10" ht="30" customHeight="1" x14ac:dyDescent="0.25">
      <c r="A5" s="5"/>
      <c r="C5" s="1"/>
      <c r="D5" s="1"/>
      <c r="E5" s="1"/>
      <c r="F5" s="1"/>
      <c r="H5" s="1"/>
    </row>
    <row r="6" spans="1:10" ht="15" customHeight="1" x14ac:dyDescent="0.25">
      <c r="A6" s="29" t="s">
        <v>5</v>
      </c>
      <c r="B6" s="62">
        <f ca="1">TODAY()</f>
        <v>45861</v>
      </c>
      <c r="C6" s="62"/>
      <c r="D6" s="64" t="s">
        <v>9</v>
      </c>
      <c r="E6" s="64"/>
      <c r="F6" s="63" t="s">
        <v>29</v>
      </c>
      <c r="G6" s="63"/>
      <c r="H6" s="63"/>
    </row>
    <row r="7" spans="1:10" x14ac:dyDescent="0.25">
      <c r="A7" s="29" t="s">
        <v>6</v>
      </c>
      <c r="B7" s="62">
        <f ca="1">TODAY()+30</f>
        <v>45891</v>
      </c>
      <c r="C7" s="62"/>
      <c r="D7" s="64"/>
      <c r="E7" s="64"/>
      <c r="F7" s="63"/>
      <c r="G7" s="63"/>
      <c r="H7" s="63"/>
    </row>
    <row r="8" spans="1:10" x14ac:dyDescent="0.25">
      <c r="A8" s="6"/>
      <c r="B8" s="7"/>
      <c r="C8" s="2"/>
      <c r="D8" s="2"/>
      <c r="E8" s="2"/>
      <c r="F8" s="2"/>
      <c r="G8" s="3"/>
      <c r="H8" s="3"/>
    </row>
    <row r="9" spans="1:10" x14ac:dyDescent="0.25">
      <c r="A9" s="52" t="s">
        <v>7</v>
      </c>
      <c r="B9" s="53"/>
      <c r="C9" s="53"/>
      <c r="D9" s="53"/>
      <c r="E9" s="53"/>
      <c r="F9" s="53"/>
      <c r="G9" s="53"/>
      <c r="H9" s="54"/>
    </row>
    <row r="10" spans="1:10" x14ac:dyDescent="0.25">
      <c r="A10" s="43" t="s">
        <v>27</v>
      </c>
      <c r="B10" s="44"/>
      <c r="C10" s="44"/>
      <c r="D10" s="44"/>
      <c r="E10" s="44"/>
      <c r="F10" s="44"/>
      <c r="G10" s="44"/>
      <c r="H10" s="45"/>
    </row>
    <row r="11" spans="1:10" x14ac:dyDescent="0.25">
      <c r="A11" s="46" t="s">
        <v>26</v>
      </c>
      <c r="B11" s="47"/>
      <c r="C11" s="47"/>
      <c r="D11" s="47"/>
      <c r="E11" s="47"/>
      <c r="F11" s="47"/>
      <c r="G11" s="47"/>
      <c r="H11" s="48"/>
    </row>
    <row r="12" spans="1:10" x14ac:dyDescent="0.25">
      <c r="A12" s="49" t="s">
        <v>24</v>
      </c>
      <c r="B12" s="50"/>
      <c r="C12" s="50"/>
      <c r="D12" s="50"/>
      <c r="E12" s="50"/>
      <c r="F12" s="50"/>
      <c r="G12" s="50"/>
      <c r="H12" s="51"/>
    </row>
    <row r="13" spans="1:10" x14ac:dyDescent="0.25">
      <c r="C13" s="1"/>
      <c r="D13" s="1"/>
      <c r="E13" s="1"/>
      <c r="F13" s="1"/>
      <c r="H13" s="1"/>
    </row>
    <row r="14" spans="1:10" x14ac:dyDescent="0.25">
      <c r="A14" s="52" t="s">
        <v>13</v>
      </c>
      <c r="B14" s="53"/>
      <c r="C14" s="53"/>
      <c r="D14" s="53"/>
      <c r="E14" s="53"/>
      <c r="F14" s="53"/>
      <c r="G14" s="53"/>
      <c r="H14" s="54"/>
    </row>
    <row r="15" spans="1:10" x14ac:dyDescent="0.25">
      <c r="A15" s="58" t="s">
        <v>25</v>
      </c>
      <c r="B15" s="59"/>
      <c r="C15" s="59"/>
      <c r="D15" s="59"/>
      <c r="E15" s="59"/>
      <c r="F15" s="59"/>
      <c r="G15" s="59"/>
      <c r="H15" s="60"/>
    </row>
    <row r="16" spans="1:10" x14ac:dyDescent="0.25">
      <c r="A16" s="61"/>
      <c r="B16" s="59"/>
      <c r="C16" s="59"/>
      <c r="D16" s="59"/>
      <c r="E16" s="59"/>
      <c r="F16" s="59"/>
      <c r="G16" s="59"/>
      <c r="H16" s="60"/>
    </row>
    <row r="17" spans="1:10" ht="15" customHeight="1" x14ac:dyDescent="0.25">
      <c r="A17" s="55"/>
      <c r="B17" s="56"/>
      <c r="C17" s="56"/>
      <c r="D17" s="56"/>
      <c r="E17" s="56"/>
      <c r="F17" s="56"/>
      <c r="G17" s="56"/>
      <c r="H17" s="57"/>
    </row>
    <row r="18" spans="1:10" x14ac:dyDescent="0.25">
      <c r="C18" s="1"/>
      <c r="D18" s="1"/>
      <c r="E18" s="1"/>
      <c r="F18" s="1"/>
      <c r="H18" s="1"/>
      <c r="J18" s="85" t="s">
        <v>19</v>
      </c>
    </row>
    <row r="19" spans="1:10" ht="15" customHeight="1" x14ac:dyDescent="0.25">
      <c r="A19" s="97" t="s">
        <v>0</v>
      </c>
      <c r="B19" s="97"/>
      <c r="C19" s="27" t="s">
        <v>37</v>
      </c>
      <c r="D19" s="27" t="s">
        <v>14</v>
      </c>
      <c r="E19" s="27" t="s">
        <v>1</v>
      </c>
      <c r="F19" s="27" t="s">
        <v>15</v>
      </c>
      <c r="G19" s="28" t="s">
        <v>16</v>
      </c>
      <c r="H19" s="27" t="s">
        <v>2</v>
      </c>
      <c r="J19" s="86"/>
    </row>
    <row r="20" spans="1:10" x14ac:dyDescent="0.25">
      <c r="A20" s="98" t="s">
        <v>30</v>
      </c>
      <c r="B20" s="99"/>
      <c r="C20" s="12" t="s">
        <v>38</v>
      </c>
      <c r="D20" s="15">
        <v>25</v>
      </c>
      <c r="E20" s="18">
        <v>1138.8</v>
      </c>
      <c r="F20" s="19"/>
      <c r="G20" s="22">
        <v>0.22</v>
      </c>
      <c r="H20" s="8">
        <f>IF(D20&lt;&gt;"",IF(E20&lt;&gt;"",IF(F20&lt;&gt;"",D20*E20*(1-F20),D20*E20),""),"")</f>
        <v>28470</v>
      </c>
      <c r="J20" s="9">
        <f>IF(G20&lt;&gt;"",IF(H20&lt;&gt;"",H20*G20,""),"")</f>
        <v>6263.4</v>
      </c>
    </row>
    <row r="21" spans="1:10" x14ac:dyDescent="0.25">
      <c r="A21" s="41" t="s">
        <v>31</v>
      </c>
      <c r="B21" s="42"/>
      <c r="C21" s="13" t="s">
        <v>39</v>
      </c>
      <c r="D21" s="16">
        <v>75</v>
      </c>
      <c r="E21" s="10">
        <v>581.1</v>
      </c>
      <c r="F21" s="20"/>
      <c r="G21" s="23">
        <v>0.22</v>
      </c>
      <c r="H21" s="25">
        <f t="shared" ref="H21:H41" si="0">IF(D21&lt;&gt;"",IF(E21&lt;&gt;"",IF(F21&lt;&gt;"",D21*E21*(1-F21),D21*E21),""),"")</f>
        <v>43582.5</v>
      </c>
      <c r="J21" s="10">
        <f t="shared" ref="J21:J41" si="1">IF(G21&lt;&gt;"",IF(H21&lt;&gt;"",H21*G21,""),"")</f>
        <v>9588.15</v>
      </c>
    </row>
    <row r="22" spans="1:10" x14ac:dyDescent="0.25">
      <c r="A22" s="41" t="s">
        <v>32</v>
      </c>
      <c r="B22" s="42"/>
      <c r="C22" s="33" t="s">
        <v>40</v>
      </c>
      <c r="D22" s="16">
        <v>20</v>
      </c>
      <c r="E22" s="10">
        <v>971.1</v>
      </c>
      <c r="F22" s="20"/>
      <c r="G22" s="23">
        <v>0.22</v>
      </c>
      <c r="H22" s="25">
        <f t="shared" si="0"/>
        <v>19422</v>
      </c>
      <c r="J22" s="10">
        <f t="shared" si="1"/>
        <v>4272.84</v>
      </c>
    </row>
    <row r="23" spans="1:10" x14ac:dyDescent="0.25">
      <c r="A23" s="41" t="s">
        <v>33</v>
      </c>
      <c r="B23" s="42"/>
      <c r="C23" s="13" t="s">
        <v>41</v>
      </c>
      <c r="D23" s="16">
        <v>1</v>
      </c>
      <c r="E23" s="10">
        <v>2714.76</v>
      </c>
      <c r="F23" s="20"/>
      <c r="G23" s="23">
        <v>0.22</v>
      </c>
      <c r="H23" s="25">
        <f t="shared" si="0"/>
        <v>2714.76</v>
      </c>
      <c r="J23" s="10">
        <f t="shared" si="1"/>
        <v>597.24720000000002</v>
      </c>
    </row>
    <row r="24" spans="1:10" x14ac:dyDescent="0.25">
      <c r="A24" s="41" t="s">
        <v>34</v>
      </c>
      <c r="B24" s="42"/>
      <c r="C24" s="13" t="s">
        <v>43</v>
      </c>
      <c r="D24" s="16">
        <v>1</v>
      </c>
      <c r="E24" s="10">
        <v>505.05</v>
      </c>
      <c r="F24" s="20"/>
      <c r="G24" s="23">
        <v>0.22</v>
      </c>
      <c r="H24" s="25">
        <f t="shared" si="0"/>
        <v>505.05</v>
      </c>
      <c r="J24" s="10">
        <f t="shared" si="1"/>
        <v>111.111</v>
      </c>
    </row>
    <row r="25" spans="1:10" x14ac:dyDescent="0.25">
      <c r="A25" s="41" t="s">
        <v>35</v>
      </c>
      <c r="B25" s="42"/>
      <c r="C25" s="13" t="s">
        <v>43</v>
      </c>
      <c r="D25" s="16">
        <v>1</v>
      </c>
      <c r="E25" s="10">
        <v>516.75</v>
      </c>
      <c r="F25" s="20"/>
      <c r="G25" s="23">
        <v>0.22</v>
      </c>
      <c r="H25" s="25">
        <f t="shared" si="0"/>
        <v>516.75</v>
      </c>
      <c r="J25" s="10">
        <f t="shared" si="1"/>
        <v>113.685</v>
      </c>
    </row>
    <row r="26" spans="1:10" x14ac:dyDescent="0.25">
      <c r="A26" s="41" t="s">
        <v>36</v>
      </c>
      <c r="B26" s="42"/>
      <c r="C26" s="13" t="s">
        <v>42</v>
      </c>
      <c r="D26" s="16">
        <v>7</v>
      </c>
      <c r="E26" s="10">
        <v>625.95000000000005</v>
      </c>
      <c r="F26" s="20"/>
      <c r="G26" s="23">
        <v>0.22</v>
      </c>
      <c r="H26" s="25">
        <f t="shared" si="0"/>
        <v>4381.6500000000005</v>
      </c>
      <c r="J26" s="10">
        <f t="shared" si="1"/>
        <v>963.96300000000008</v>
      </c>
    </row>
    <row r="27" spans="1:10" x14ac:dyDescent="0.25">
      <c r="A27" s="41" t="s">
        <v>44</v>
      </c>
      <c r="B27" s="42"/>
      <c r="C27" s="13" t="s">
        <v>45</v>
      </c>
      <c r="D27" s="16">
        <v>1</v>
      </c>
      <c r="E27" s="10">
        <v>325.10000000000002</v>
      </c>
      <c r="F27" s="20"/>
      <c r="G27" s="23">
        <v>0.22</v>
      </c>
      <c r="H27" s="25">
        <f t="shared" si="0"/>
        <v>325.10000000000002</v>
      </c>
      <c r="J27" s="10">
        <f t="shared" si="1"/>
        <v>71.522000000000006</v>
      </c>
    </row>
    <row r="28" spans="1:10" x14ac:dyDescent="0.25">
      <c r="A28" s="41" t="s">
        <v>46</v>
      </c>
      <c r="B28" s="42"/>
      <c r="C28" s="13" t="s">
        <v>47</v>
      </c>
      <c r="D28" s="16">
        <v>1</v>
      </c>
      <c r="E28" s="10">
        <v>13017.78</v>
      </c>
      <c r="F28" s="20"/>
      <c r="G28" s="23">
        <v>0.22</v>
      </c>
      <c r="H28" s="25">
        <f t="shared" ref="H28:H33" si="2">IF(D28&lt;&gt;"",IF(E28&lt;&gt;"",IF(F28&lt;&gt;"",D28*E28*(1-F28),D28*E28),""),"")</f>
        <v>13017.78</v>
      </c>
      <c r="J28" s="10">
        <f t="shared" si="1"/>
        <v>2863.9116000000004</v>
      </c>
    </row>
    <row r="29" spans="1:10" x14ac:dyDescent="0.25">
      <c r="A29" s="41" t="s">
        <v>49</v>
      </c>
      <c r="B29" s="42"/>
      <c r="C29" s="13" t="s">
        <v>48</v>
      </c>
      <c r="D29" s="16">
        <v>1</v>
      </c>
      <c r="E29" s="10">
        <v>2411.6</v>
      </c>
      <c r="F29" s="20"/>
      <c r="G29" s="23">
        <v>0.22</v>
      </c>
      <c r="H29" s="25">
        <f t="shared" si="2"/>
        <v>2411.6</v>
      </c>
      <c r="J29" s="10">
        <f t="shared" si="1"/>
        <v>530.55200000000002</v>
      </c>
    </row>
    <row r="30" spans="1:10" x14ac:dyDescent="0.25">
      <c r="A30" s="41" t="s">
        <v>51</v>
      </c>
      <c r="B30" s="42"/>
      <c r="C30" s="13" t="s">
        <v>50</v>
      </c>
      <c r="D30" s="16">
        <v>2</v>
      </c>
      <c r="E30" s="10">
        <v>1002.3</v>
      </c>
      <c r="F30" s="20" t="s">
        <v>18</v>
      </c>
      <c r="G30" s="23">
        <v>0.22</v>
      </c>
      <c r="H30" s="25">
        <f t="shared" si="2"/>
        <v>2004.6</v>
      </c>
      <c r="J30" s="10">
        <f t="shared" si="1"/>
        <v>441.012</v>
      </c>
    </row>
    <row r="31" spans="1:10" x14ac:dyDescent="0.25">
      <c r="A31" s="41" t="s">
        <v>52</v>
      </c>
      <c r="B31" s="42"/>
      <c r="C31" s="13" t="s">
        <v>53</v>
      </c>
      <c r="D31" s="16">
        <v>3</v>
      </c>
      <c r="E31" s="10">
        <v>5373.81</v>
      </c>
      <c r="F31" s="20" t="s">
        <v>18</v>
      </c>
      <c r="G31" s="23">
        <v>0.22</v>
      </c>
      <c r="H31" s="25">
        <f t="shared" si="2"/>
        <v>16121.43</v>
      </c>
      <c r="J31" s="10">
        <f t="shared" si="1"/>
        <v>3546.7146000000002</v>
      </c>
    </row>
    <row r="32" spans="1:10" x14ac:dyDescent="0.25">
      <c r="A32" s="41" t="s">
        <v>63</v>
      </c>
      <c r="B32" s="42"/>
      <c r="C32" s="33" t="s">
        <v>62</v>
      </c>
      <c r="D32" s="16">
        <v>1</v>
      </c>
      <c r="E32" s="10">
        <v>9000</v>
      </c>
      <c r="F32" s="20"/>
      <c r="G32" s="23"/>
      <c r="H32" s="25">
        <f t="shared" si="2"/>
        <v>9000</v>
      </c>
      <c r="J32" s="10" t="str">
        <f t="shared" si="1"/>
        <v/>
      </c>
    </row>
    <row r="33" spans="1:10" x14ac:dyDescent="0.25">
      <c r="A33" s="91" t="s">
        <v>64</v>
      </c>
      <c r="B33" s="91"/>
      <c r="C33" s="33" t="s">
        <v>66</v>
      </c>
      <c r="D33" s="16">
        <v>1</v>
      </c>
      <c r="E33" s="10">
        <v>24000</v>
      </c>
      <c r="F33" s="20"/>
      <c r="G33" s="23">
        <v>0</v>
      </c>
      <c r="H33" s="25">
        <f t="shared" si="2"/>
        <v>24000</v>
      </c>
      <c r="J33" s="10">
        <f t="shared" si="1"/>
        <v>0</v>
      </c>
    </row>
    <row r="34" spans="1:10" x14ac:dyDescent="0.25">
      <c r="A34" s="91" t="s">
        <v>65</v>
      </c>
      <c r="B34" s="92"/>
      <c r="C34" s="33" t="s">
        <v>67</v>
      </c>
      <c r="D34" s="35">
        <v>1</v>
      </c>
      <c r="E34" s="34">
        <v>450</v>
      </c>
      <c r="F34" s="20"/>
      <c r="G34" s="23">
        <v>0</v>
      </c>
      <c r="H34" s="25">
        <f t="shared" si="0"/>
        <v>450</v>
      </c>
      <c r="J34" s="10">
        <f t="shared" si="1"/>
        <v>0</v>
      </c>
    </row>
    <row r="35" spans="1:10" x14ac:dyDescent="0.25">
      <c r="A35" s="83" t="s">
        <v>55</v>
      </c>
      <c r="B35" s="84"/>
      <c r="C35" s="36" t="s">
        <v>54</v>
      </c>
      <c r="D35" s="37">
        <v>1</v>
      </c>
      <c r="E35" s="38">
        <v>8543</v>
      </c>
      <c r="F35" s="20">
        <v>1</v>
      </c>
      <c r="G35" s="23" t="s">
        <v>18</v>
      </c>
      <c r="H35" s="25">
        <f t="shared" si="0"/>
        <v>0</v>
      </c>
      <c r="J35" s="10" t="str">
        <f t="shared" si="1"/>
        <v/>
      </c>
    </row>
    <row r="36" spans="1:10" x14ac:dyDescent="0.25">
      <c r="A36" s="93" t="s">
        <v>60</v>
      </c>
      <c r="B36" s="93"/>
      <c r="C36" s="36" t="s">
        <v>54</v>
      </c>
      <c r="D36" s="37">
        <v>6</v>
      </c>
      <c r="E36" s="38">
        <v>1176</v>
      </c>
      <c r="F36" s="20">
        <v>1</v>
      </c>
      <c r="G36" s="23" t="s">
        <v>18</v>
      </c>
      <c r="H36" s="25">
        <f t="shared" si="0"/>
        <v>0</v>
      </c>
      <c r="J36" s="10" t="str">
        <f t="shared" si="1"/>
        <v/>
      </c>
    </row>
    <row r="37" spans="1:10" x14ac:dyDescent="0.25">
      <c r="A37" s="93" t="s">
        <v>59</v>
      </c>
      <c r="B37" s="96"/>
      <c r="C37" s="36" t="s">
        <v>61</v>
      </c>
      <c r="D37" s="39">
        <v>1</v>
      </c>
      <c r="E37" s="40">
        <v>1000</v>
      </c>
      <c r="F37" s="20">
        <v>1</v>
      </c>
      <c r="G37" s="23" t="s">
        <v>18</v>
      </c>
      <c r="H37" s="25">
        <f t="shared" si="0"/>
        <v>0</v>
      </c>
      <c r="J37" s="10" t="str">
        <f t="shared" si="1"/>
        <v/>
      </c>
    </row>
    <row r="38" spans="1:10" x14ac:dyDescent="0.25">
      <c r="A38" s="94" t="s">
        <v>18</v>
      </c>
      <c r="B38" s="95"/>
      <c r="C38" s="13" t="s">
        <v>18</v>
      </c>
      <c r="D38" s="16" t="s">
        <v>18</v>
      </c>
      <c r="E38" s="10" t="s">
        <v>18</v>
      </c>
      <c r="F38" s="20" t="s">
        <v>18</v>
      </c>
      <c r="G38" s="23" t="s">
        <v>18</v>
      </c>
      <c r="H38" s="25" t="str">
        <f t="shared" si="0"/>
        <v/>
      </c>
      <c r="J38" s="10" t="str">
        <f t="shared" si="1"/>
        <v/>
      </c>
    </row>
    <row r="39" spans="1:10" x14ac:dyDescent="0.25">
      <c r="A39" s="94" t="s">
        <v>18</v>
      </c>
      <c r="B39" s="95"/>
      <c r="C39" s="13" t="s">
        <v>18</v>
      </c>
      <c r="D39" s="16" t="s">
        <v>18</v>
      </c>
      <c r="E39" s="10" t="s">
        <v>18</v>
      </c>
      <c r="F39" s="20" t="s">
        <v>18</v>
      </c>
      <c r="G39" s="23" t="s">
        <v>18</v>
      </c>
      <c r="H39" s="25" t="str">
        <f t="shared" si="0"/>
        <v/>
      </c>
      <c r="J39" s="10" t="str">
        <f t="shared" si="1"/>
        <v/>
      </c>
    </row>
    <row r="40" spans="1:10" x14ac:dyDescent="0.25">
      <c r="A40" s="41" t="s">
        <v>18</v>
      </c>
      <c r="B40" s="42"/>
      <c r="C40" s="13" t="s">
        <v>18</v>
      </c>
      <c r="D40" s="16" t="s">
        <v>18</v>
      </c>
      <c r="E40" s="10" t="s">
        <v>18</v>
      </c>
      <c r="F40" s="20" t="s">
        <v>18</v>
      </c>
      <c r="G40" s="23" t="s">
        <v>18</v>
      </c>
      <c r="H40" s="25" t="str">
        <f t="shared" si="0"/>
        <v/>
      </c>
      <c r="J40" s="10" t="str">
        <f t="shared" si="1"/>
        <v/>
      </c>
    </row>
    <row r="41" spans="1:10" x14ac:dyDescent="0.25">
      <c r="A41" s="77" t="s">
        <v>18</v>
      </c>
      <c r="B41" s="78"/>
      <c r="C41" s="14" t="s">
        <v>18</v>
      </c>
      <c r="D41" s="17" t="s">
        <v>18</v>
      </c>
      <c r="E41" s="11" t="s">
        <v>18</v>
      </c>
      <c r="F41" s="21" t="s">
        <v>18</v>
      </c>
      <c r="G41" s="24" t="s">
        <v>18</v>
      </c>
      <c r="H41" s="25" t="str">
        <f t="shared" si="0"/>
        <v/>
      </c>
      <c r="J41" s="11" t="str">
        <f t="shared" si="1"/>
        <v/>
      </c>
    </row>
    <row r="42" spans="1:10" ht="15" customHeight="1" x14ac:dyDescent="0.25">
      <c r="A42" s="29" t="s">
        <v>11</v>
      </c>
      <c r="B42" s="79" t="s">
        <v>21</v>
      </c>
      <c r="C42" s="79"/>
      <c r="D42" s="79"/>
      <c r="E42" s="79"/>
      <c r="F42" s="79"/>
      <c r="G42" s="79"/>
      <c r="H42" s="26"/>
    </row>
    <row r="43" spans="1:10" ht="15" customHeight="1" x14ac:dyDescent="0.25">
      <c r="A43" s="29" t="s">
        <v>12</v>
      </c>
      <c r="B43" s="79" t="s">
        <v>58</v>
      </c>
      <c r="C43" s="79"/>
      <c r="D43" s="79"/>
      <c r="E43" s="79"/>
      <c r="F43" s="79"/>
      <c r="G43" s="79"/>
      <c r="H43" s="26"/>
    </row>
    <row r="44" spans="1:10" ht="15" customHeight="1" x14ac:dyDescent="0.25">
      <c r="A44" s="29" t="s">
        <v>8</v>
      </c>
      <c r="B44" s="80" t="s">
        <v>20</v>
      </c>
      <c r="C44" s="81"/>
      <c r="D44" s="81"/>
      <c r="E44" s="81"/>
      <c r="F44" s="81"/>
      <c r="G44" s="82"/>
      <c r="H44" s="26"/>
    </row>
    <row r="45" spans="1:10" ht="15" customHeight="1" x14ac:dyDescent="0.25">
      <c r="A45" s="68" t="s">
        <v>10</v>
      </c>
      <c r="B45" s="69"/>
      <c r="C45" s="70"/>
      <c r="D45" s="87" t="s">
        <v>3</v>
      </c>
      <c r="E45" s="88"/>
      <c r="F45" s="88"/>
      <c r="G45" s="88"/>
      <c r="H45" s="31">
        <f>SUM(H20:H41)</f>
        <v>166923.22</v>
      </c>
    </row>
    <row r="46" spans="1:10" ht="15" customHeight="1" x14ac:dyDescent="0.25">
      <c r="A46" s="71" t="s">
        <v>57</v>
      </c>
      <c r="B46" s="72"/>
      <c r="C46" s="73"/>
      <c r="D46" s="89" t="s">
        <v>17</v>
      </c>
      <c r="E46" s="90"/>
      <c r="F46" s="90"/>
      <c r="G46" s="90"/>
      <c r="H46" s="32">
        <f>SUM(J20:J41)</f>
        <v>29364.108400000001</v>
      </c>
    </row>
    <row r="47" spans="1:10" ht="15" customHeight="1" x14ac:dyDescent="0.25">
      <c r="A47" s="74" t="s">
        <v>56</v>
      </c>
      <c r="B47" s="75"/>
      <c r="C47" s="76"/>
      <c r="D47" s="66" t="s">
        <v>4</v>
      </c>
      <c r="E47" s="67"/>
      <c r="F47" s="67"/>
      <c r="G47" s="67"/>
      <c r="H47" s="32">
        <f>H45+H46</f>
        <v>196287.3284</v>
      </c>
    </row>
  </sheetData>
  <mergeCells count="50">
    <mergeCell ref="A35:B35"/>
    <mergeCell ref="A40:B40"/>
    <mergeCell ref="J18:J19"/>
    <mergeCell ref="D45:G45"/>
    <mergeCell ref="D46:G46"/>
    <mergeCell ref="A34:B34"/>
    <mergeCell ref="A36:B36"/>
    <mergeCell ref="A39:B39"/>
    <mergeCell ref="A37:B37"/>
    <mergeCell ref="A38:B38"/>
    <mergeCell ref="A19:B19"/>
    <mergeCell ref="A20:B20"/>
    <mergeCell ref="A21:B21"/>
    <mergeCell ref="A33:B33"/>
    <mergeCell ref="A22:B22"/>
    <mergeCell ref="A23:B23"/>
    <mergeCell ref="D47:G47"/>
    <mergeCell ref="A45:C45"/>
    <mergeCell ref="A46:C46"/>
    <mergeCell ref="A47:C47"/>
    <mergeCell ref="A41:B41"/>
    <mergeCell ref="B42:G42"/>
    <mergeCell ref="B43:G43"/>
    <mergeCell ref="B44:G44"/>
    <mergeCell ref="A1:A4"/>
    <mergeCell ref="B1:H1"/>
    <mergeCell ref="B2:H2"/>
    <mergeCell ref="B3:H3"/>
    <mergeCell ref="B4:H4"/>
    <mergeCell ref="B6:C6"/>
    <mergeCell ref="B7:C7"/>
    <mergeCell ref="F6:H7"/>
    <mergeCell ref="D6:E7"/>
    <mergeCell ref="A9:H9"/>
    <mergeCell ref="A10:H10"/>
    <mergeCell ref="A11:H11"/>
    <mergeCell ref="A12:H12"/>
    <mergeCell ref="A14:H14"/>
    <mergeCell ref="A17:H17"/>
    <mergeCell ref="A15:H15"/>
    <mergeCell ref="A16:H16"/>
    <mergeCell ref="A29:B29"/>
    <mergeCell ref="A30:B30"/>
    <mergeCell ref="A31:B31"/>
    <mergeCell ref="A32:B32"/>
    <mergeCell ref="A24:B24"/>
    <mergeCell ref="A25:B25"/>
    <mergeCell ref="A26:B26"/>
    <mergeCell ref="A27:B27"/>
    <mergeCell ref="A28:B28"/>
  </mergeCells>
  <phoneticPr fontId="20" type="noConversion"/>
  <pageMargins left="0.25" right="0.25" top="0.75" bottom="0.75" header="0.3" footer="0.3"/>
  <pageSetup paperSize="9" orientation="portrait" r:id="rId1"/>
  <headerFooter>
    <oddFooter>&amp;RPagina &amp;P/&amp;N&amp;L&amp;"Consolas"&amp;8Creazione Gestionali Web by GardaInformatica.it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Pulsante 1">
              <controlPr defaultSize="0" print="0" autoFill="0" autoPict="0" macro="[0]!EsportaPDF">
                <anchor moveWithCells="1" sizeWithCells="1">
                  <from>
                    <xdr:col>1</xdr:col>
                    <xdr:colOff>485775</xdr:colOff>
                    <xdr:row>4</xdr:row>
                    <xdr:rowOff>47625</xdr:rowOff>
                  </from>
                  <to>
                    <xdr:col>2</xdr:col>
                    <xdr:colOff>542925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5" name="Pulsante 1">
              <controlPr defaultSize="0" print="0" autoFill="0" autoPict="0" macro="[0]!ModuloReset">
                <anchor moveWithCells="1" sizeWithCells="1">
                  <from>
                    <xdr:col>3</xdr:col>
                    <xdr:colOff>47625</xdr:colOff>
                    <xdr:row>4</xdr:row>
                    <xdr:rowOff>38100</xdr:rowOff>
                  </from>
                  <to>
                    <xdr:col>5</xdr:col>
                    <xdr:colOff>457200</xdr:colOff>
                    <xdr:row>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2</vt:i4>
      </vt:variant>
    </vt:vector>
  </HeadingPairs>
  <TitlesOfParts>
    <vt:vector size="3" baseType="lpstr">
      <vt:lpstr>preventivo</vt:lpstr>
      <vt:lpstr>preventivo!Area_stampa</vt:lpstr>
      <vt:lpstr>preventivo!Titoli_stampa</vt:lpstr>
    </vt:vector>
  </TitlesOfParts>
  <Manager/>
  <Company>GardaInformatica.it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Modello Excel Preventivi Professionali</dc:title>
  <dc:subject>Modello Excel Preventivi Professionali</dc:subject>
  <dc:creator>GardaInformatica.it</dc:creator>
  <cp:keywords>Modello Excel Preventivi Professionali</cp:keywords>
  <dc:description/>
  <cp:lastModifiedBy>Marco Falchi</cp:lastModifiedBy>
  <cp:lastPrinted>2025-07-23T10:25:02Z</cp:lastPrinted>
  <dcterms:created xsi:type="dcterms:W3CDTF">2022-02-08T16:21:57Z</dcterms:created>
  <dcterms:modified xsi:type="dcterms:W3CDTF">2025-07-23T10:26:36Z</dcterms:modified>
  <cp:category>Modello Excel Preventivi Professionali</cp:category>
</cp:coreProperties>
</file>